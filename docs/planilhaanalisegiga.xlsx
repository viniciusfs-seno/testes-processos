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estes_processos\testes-processos\docs\"/>
    </mc:Choice>
  </mc:AlternateContent>
  <xr:revisionPtr revIDLastSave="0" documentId="8_{E48207A9-B7EF-4D21-9F48-C0D04CB8DD3E}" xr6:coauthVersionLast="47" xr6:coauthVersionMax="47" xr10:uidLastSave="{00000000-0000-0000-0000-000000000000}"/>
  <bookViews>
    <workbookView xWindow="-120" yWindow="-120" windowWidth="20730" windowHeight="11040" activeTab="2" xr2:uid="{19EAD326-A141-46EC-902D-3C4DACE9D9A6}"/>
  </bookViews>
  <sheets>
    <sheet name="Planilha1" sheetId="1" r:id="rId1"/>
    <sheet name="VENDAS POR SEGMENTOS" sheetId="5" r:id="rId2"/>
    <sheet name="Planilha7" sheetId="7" r:id="rId3"/>
    <sheet name="VENDAS POR LOJAS" sheetId="6" r:id="rId4"/>
    <sheet name="SEGMENTOS" sheetId="3" r:id="rId5"/>
    <sheet name="LOJAS" sheetId="4" r:id="rId6"/>
  </sheets>
  <definedNames>
    <definedName name="_xlnm._FilterDatabase" localSheetId="5" hidden="1">LOJAS!$A$1:$D$1</definedName>
    <definedName name="_xlnm._FilterDatabase" localSheetId="4" hidden="1">SEGMENTOS!$A$1:$D$1</definedName>
    <definedName name="_xlnm._FilterDatabase" localSheetId="3" hidden="1">'VENDAS POR LOJAS'!$A$2:$I$2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6" l="1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3" i="6"/>
  <c r="I4" i="6"/>
  <c r="H3" i="6"/>
  <c r="L5" i="5"/>
  <c r="L6" i="5"/>
  <c r="L7" i="5"/>
  <c r="H3" i="5"/>
  <c r="L8" i="5" s="1"/>
  <c r="L4" i="5"/>
  <c r="L3" i="5"/>
  <c r="L2" i="5"/>
</calcChain>
</file>

<file path=xl/sharedStrings.xml><?xml version="1.0" encoding="utf-8"?>
<sst xmlns="http://schemas.openxmlformats.org/spreadsheetml/2006/main" count="260" uniqueCount="135">
  <si>
    <t>RDP CONSINCO</t>
  </si>
  <si>
    <t>Lojas</t>
  </si>
  <si>
    <t>Segmentos</t>
  </si>
  <si>
    <t>Número</t>
  </si>
  <si>
    <t>Nome</t>
  </si>
  <si>
    <t>Descrição</t>
  </si>
  <si>
    <t>API / Database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</si>
  <si>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</si>
  <si>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</si>
  <si>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</si>
  <si>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</si>
  <si>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</si>
  <si>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</si>
  <si>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</si>
  <si>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</si>
  <si>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</si>
  <si>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</si>
  <si>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</si>
  <si>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</si>
  <si>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</si>
  <si>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</si>
  <si>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G17</t>
  </si>
  <si>
    <t>GC01</t>
  </si>
  <si>
    <t>GC02</t>
  </si>
  <si>
    <t>LIMÃO</t>
  </si>
  <si>
    <t>TAMBORÉ</t>
  </si>
  <si>
    <t>RAPOSO</t>
  </si>
  <si>
    <t>JUNDIAÍ</t>
  </si>
  <si>
    <t>CARAPICUIBA</t>
  </si>
  <si>
    <t>BARRA FUNDA</t>
  </si>
  <si>
    <t>CACHOEIRINH</t>
  </si>
  <si>
    <t>GUARULHOS</t>
  </si>
  <si>
    <t>TREMEMBE</t>
  </si>
  <si>
    <t>VENDA EXTERNA</t>
  </si>
  <si>
    <t>CAMPINAS</t>
  </si>
  <si>
    <t>NACOES UNID</t>
  </si>
  <si>
    <t>SÃO BERNARD</t>
  </si>
  <si>
    <t>CAMPINAS VE</t>
  </si>
  <si>
    <t>SOROCABA</t>
  </si>
  <si>
    <t>VARZEA</t>
  </si>
  <si>
    <t>OSASCO</t>
  </si>
  <si>
    <t>ATACADO</t>
  </si>
  <si>
    <t>ECOMM ATACADO</t>
  </si>
  <si>
    <t>GIGA-E-COMMERCE</t>
  </si>
  <si>
    <t>IFOOD B2C</t>
  </si>
  <si>
    <t>RAPPI</t>
  </si>
  <si>
    <t>TELEVENDAS</t>
  </si>
  <si>
    <t>Codigo</t>
  </si>
  <si>
    <t>Nome reduzido</t>
  </si>
  <si>
    <t>Venda</t>
  </si>
  <si>
    <t>GIGA LIMAO</t>
  </si>
  <si>
    <t>G01-LIMÃO</t>
  </si>
  <si>
    <t>GIGA ARAGUAIA</t>
  </si>
  <si>
    <t>G02-TAMBORÉ</t>
  </si>
  <si>
    <t>GIGA CACHOEIRINHA</t>
  </si>
  <si>
    <t>G07-CACHOEIRINH</t>
  </si>
  <si>
    <t>GIGA RAPOSO</t>
  </si>
  <si>
    <t>G03-RAPOSO</t>
  </si>
  <si>
    <t>GIGA JUNDIAI</t>
  </si>
  <si>
    <t>G04-JUNDIAÍ</t>
  </si>
  <si>
    <t>GIGA CARAPICUIBA</t>
  </si>
  <si>
    <t>G05-CARAPICUIBA</t>
  </si>
  <si>
    <t>GIGA BARRA FUNDA</t>
  </si>
  <si>
    <t>G06-BARRA FUNDA</t>
  </si>
  <si>
    <t>GIGA GUARULHOS</t>
  </si>
  <si>
    <t>G08-GUARULHOS</t>
  </si>
  <si>
    <t>GIGA NACOES UNIDAS</t>
  </si>
  <si>
    <t>G12-NACOES UNID</t>
  </si>
  <si>
    <t>GIGA CAMPINAS</t>
  </si>
  <si>
    <t>G11-CAMPINAS</t>
  </si>
  <si>
    <t>GIGA COMPACTO VARZEA PAULISTA</t>
  </si>
  <si>
    <t>GC01-VARZEA</t>
  </si>
  <si>
    <t>GIGA COMPACTO OSASCO</t>
  </si>
  <si>
    <t>GC02-OSASCO</t>
  </si>
  <si>
    <t>GIGA TREMEMBE</t>
  </si>
  <si>
    <t>JUNDIAI</t>
  </si>
  <si>
    <t>NACOES UNIDAS</t>
  </si>
  <si>
    <t>COMPACTO VARZEA PAULISTA</t>
  </si>
  <si>
    <t>COMPACTO OSASCO</t>
  </si>
  <si>
    <t>CACHOEIRINHA</t>
  </si>
  <si>
    <t>ARAGUAIA</t>
  </si>
  <si>
    <t>LIMAO</t>
  </si>
  <si>
    <t>MA-ATACADO BA</t>
  </si>
  <si>
    <t>A</t>
  </si>
  <si>
    <t>MA-TELEVEND BA</t>
  </si>
  <si>
    <t>MA-ECOMM BA</t>
  </si>
  <si>
    <t>MA-IFOOD B2B BA</t>
  </si>
  <si>
    <t>MA-IFOOD B2C BA</t>
  </si>
  <si>
    <t>MA-UBER BA</t>
  </si>
  <si>
    <t>I</t>
  </si>
  <si>
    <t>MA-ATACADO SE</t>
  </si>
  <si>
    <t>MA-ECOMM SE</t>
  </si>
  <si>
    <t>MA-IFOOD B2C SE</t>
  </si>
  <si>
    <t>MA-UBER SE</t>
  </si>
  <si>
    <t>MA-VENDA EXT BA</t>
  </si>
  <si>
    <t>Status</t>
  </si>
  <si>
    <t>Descricao</t>
  </si>
  <si>
    <t>GIGA MATRIZ</t>
  </si>
  <si>
    <t>GIGA BIRIGUI</t>
  </si>
  <si>
    <t>GIGA VENDA EXTERNA</t>
  </si>
  <si>
    <t>G10-VENDA EXTERNA</t>
  </si>
  <si>
    <t>GIGA SAO BERNARDO</t>
  </si>
  <si>
    <t>G13-SAO BERNARD</t>
  </si>
  <si>
    <t>GIGA CAMPINAS VENDA EXTERNA</t>
  </si>
  <si>
    <t>G14-CAMPINAS VE</t>
  </si>
  <si>
    <t>GIGA SOROCABA</t>
  </si>
  <si>
    <t>G17-SOROCABA</t>
  </si>
  <si>
    <t>CD GIGA JAGUARE</t>
  </si>
  <si>
    <t>CD GIGA FLV</t>
  </si>
  <si>
    <t>CD GIGA IMPORTACAO</t>
  </si>
  <si>
    <t>CD IMPORTACAO</t>
  </si>
  <si>
    <t>CD GIGA CARNES</t>
  </si>
  <si>
    <t>G09-TREMEMBE</t>
  </si>
  <si>
    <t>Match</t>
  </si>
  <si>
    <t>Segmento</t>
  </si>
  <si>
    <t>TOTAL: 6 linhas</t>
  </si>
  <si>
    <t>Valor Total</t>
  </si>
  <si>
    <t>RDP</t>
  </si>
  <si>
    <t>API</t>
  </si>
  <si>
    <t>DIFERENÇA</t>
  </si>
  <si>
    <t>SEGMENTO</t>
  </si>
  <si>
    <t>VALOR</t>
  </si>
  <si>
    <t>Total</t>
  </si>
  <si>
    <t>TOTAL</t>
  </si>
  <si>
    <t>Empresa</t>
  </si>
  <si>
    <t>TOTAL: 15 linhas</t>
  </si>
  <si>
    <t>Diferença</t>
  </si>
  <si>
    <t>DATA</t>
  </si>
  <si>
    <t>HORA</t>
  </si>
  <si>
    <t>06:00-06:59</t>
  </si>
  <si>
    <t>07:00-07:59</t>
  </si>
  <si>
    <t>08:00-08:59</t>
  </si>
  <si>
    <t>09:00-09:59</t>
  </si>
  <si>
    <t>10:00-10:59</t>
  </si>
  <si>
    <t>11:00-11:59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</si>
</sst>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A3D7-5C92-4157-A067-9361EAAF8CDF}">
  <dimension ref="A1:I20"/>
  <sheetViews>
    <sheetView workbookViewId="0">
      <selection activeCell="F4" sqref="F4:G16"/>
    </sheetView>
  </sheetViews>
  <sheetFormatPr defaultRowHeight="15" x14ac:dyDescent="0.25"/>
  <cols>
    <col min="1" max="1" width="8.140625" bestFit="1" customWidth="1"/>
    <col min="2" max="2" width="15.42578125" bestFit="1" customWidth="1"/>
    <col min="3" max="3" width="8.140625" bestFit="1" customWidth="1"/>
    <col min="4" max="4" width="18" bestFit="1" customWidth="1"/>
    <col min="6" max="6" width="8.140625" bestFit="1" customWidth="1"/>
    <col min="7" max="7" width="32" bestFit="1" customWidth="1"/>
    <col min="8" max="8" width="8.140625" bestFit="1" customWidth="1"/>
    <col min="9" max="9" width="9.85546875" bestFit="1" customWidth="1"/>
  </cols>
  <sheetData>
    <row r="1" spans="1:9" x14ac:dyDescent="0.25">
      <c r="A1" s="1" t="s">
        <v>0</v>
      </c>
      <c r="B1" s="1"/>
      <c r="C1" s="1"/>
      <c r="D1" s="1"/>
      <c r="F1" s="1" t="s">
        <v>6</v>
      </c>
      <c r="G1" s="1"/>
      <c r="H1" s="1"/>
      <c r="I1" s="1"/>
    </row>
    <row r="2" spans="1:9" x14ac:dyDescent="0.25">
      <c r="A2" s="4" t="s">
        <v>1</v>
      </c>
      <c r="B2" s="4"/>
      <c r="C2" s="4" t="s">
        <v>2</v>
      </c>
      <c r="D2" s="4"/>
      <c r="F2" s="4" t="s">
        <v>1</v>
      </c>
      <c r="G2" s="4"/>
      <c r="H2" s="4" t="s">
        <v>2</v>
      </c>
      <c r="I2" s="4"/>
    </row>
    <row r="3" spans="1:9" x14ac:dyDescent="0.25">
      <c r="A3" t="s">
        <v>3</v>
      </c>
      <c r="B3" t="s">
        <v>5</v>
      </c>
      <c r="C3" t="s">
        <v>3</v>
      </c>
      <c r="D3" t="s">
        <v>5</v>
      </c>
      <c r="F3" t="s">
        <v>3</v>
      </c>
      <c r="G3" t="s">
        <v>5</v>
      </c>
      <c r="H3" t="s">
        <v>3</v>
      </c>
      <c r="I3" t="s">
        <v>5</v>
      </c>
    </row>
    <row r="4" spans="1:9" x14ac:dyDescent="0.25">
      <c r="A4" t="s">
        <v>7</v>
      </c>
      <c r="B4" t="s">
        <v>24</v>
      </c>
      <c r="D4" t="s">
        <v>41</v>
      </c>
      <c r="F4">
        <v>101</v>
      </c>
      <c r="G4" t="s">
        <v>81</v>
      </c>
      <c r="H4">
        <v>1</v>
      </c>
      <c r="I4" t="s">
        <v>41</v>
      </c>
    </row>
    <row r="5" spans="1:9" x14ac:dyDescent="0.25">
      <c r="A5" t="s">
        <v>8</v>
      </c>
      <c r="B5" t="s">
        <v>25</v>
      </c>
      <c r="D5" t="s">
        <v>42</v>
      </c>
      <c r="F5">
        <v>102</v>
      </c>
      <c r="G5" t="s">
        <v>80</v>
      </c>
      <c r="H5">
        <v>10</v>
      </c>
      <c r="I5" t="s">
        <v>46</v>
      </c>
    </row>
    <row r="6" spans="1:9" x14ac:dyDescent="0.25">
      <c r="A6" t="s">
        <v>9</v>
      </c>
      <c r="B6" t="s">
        <v>26</v>
      </c>
      <c r="D6" t="s">
        <v>43</v>
      </c>
      <c r="F6">
        <v>103</v>
      </c>
      <c r="G6" t="s">
        <v>79</v>
      </c>
      <c r="H6">
        <v>24</v>
      </c>
      <c r="I6" t="s">
        <v>45</v>
      </c>
    </row>
    <row r="7" spans="1:9" x14ac:dyDescent="0.25">
      <c r="A7" t="s">
        <v>10</v>
      </c>
      <c r="B7" t="s">
        <v>27</v>
      </c>
      <c r="D7" t="s">
        <v>44</v>
      </c>
      <c r="F7">
        <v>105</v>
      </c>
      <c r="G7" t="s">
        <v>26</v>
      </c>
      <c r="H7">
        <v>27</v>
      </c>
      <c r="I7" t="s">
        <v>44</v>
      </c>
    </row>
    <row r="8" spans="1:9" x14ac:dyDescent="0.25">
      <c r="A8" t="s">
        <v>11</v>
      </c>
      <c r="B8" t="s">
        <v>28</v>
      </c>
      <c r="D8" t="s">
        <v>45</v>
      </c>
      <c r="F8">
        <v>106</v>
      </c>
      <c r="G8" t="s">
        <v>75</v>
      </c>
      <c r="H8">
        <v>29</v>
      </c>
      <c r="I8" t="s">
        <v>43</v>
      </c>
    </row>
    <row r="9" spans="1:9" x14ac:dyDescent="0.25">
      <c r="A9" t="s">
        <v>12</v>
      </c>
      <c r="B9" t="s">
        <v>29</v>
      </c>
      <c r="D9" t="s">
        <v>46</v>
      </c>
      <c r="F9">
        <v>107</v>
      </c>
      <c r="G9" t="s">
        <v>28</v>
      </c>
    </row>
    <row r="10" spans="1:9" x14ac:dyDescent="0.25">
      <c r="A10" t="s">
        <v>13</v>
      </c>
      <c r="B10" t="s">
        <v>30</v>
      </c>
      <c r="D10" t="s">
        <v>33</v>
      </c>
      <c r="F10">
        <v>108</v>
      </c>
      <c r="G10" t="s">
        <v>29</v>
      </c>
    </row>
    <row r="11" spans="1:9" x14ac:dyDescent="0.25">
      <c r="A11" t="s">
        <v>14</v>
      </c>
      <c r="B11" t="s">
        <v>31</v>
      </c>
      <c r="F11">
        <v>109</v>
      </c>
      <c r="G11" t="s">
        <v>31</v>
      </c>
    </row>
    <row r="12" spans="1:9" x14ac:dyDescent="0.25">
      <c r="A12" t="s">
        <v>15</v>
      </c>
      <c r="B12" t="s">
        <v>32</v>
      </c>
      <c r="F12">
        <v>113</v>
      </c>
      <c r="G12" t="s">
        <v>76</v>
      </c>
    </row>
    <row r="13" spans="1:9" x14ac:dyDescent="0.25">
      <c r="A13" t="s">
        <v>16</v>
      </c>
      <c r="B13" t="s">
        <v>33</v>
      </c>
      <c r="F13">
        <v>115</v>
      </c>
      <c r="G13" t="s">
        <v>34</v>
      </c>
    </row>
    <row r="14" spans="1:9" x14ac:dyDescent="0.25">
      <c r="A14" t="s">
        <v>17</v>
      </c>
      <c r="B14" t="s">
        <v>34</v>
      </c>
      <c r="F14">
        <v>300</v>
      </c>
      <c r="G14" t="s">
        <v>77</v>
      </c>
    </row>
    <row r="15" spans="1:9" x14ac:dyDescent="0.25">
      <c r="A15" t="s">
        <v>18</v>
      </c>
      <c r="B15" t="s">
        <v>35</v>
      </c>
      <c r="F15">
        <v>301</v>
      </c>
      <c r="G15" t="s">
        <v>78</v>
      </c>
    </row>
    <row r="16" spans="1:9" x14ac:dyDescent="0.25">
      <c r="A16" t="s">
        <v>19</v>
      </c>
      <c r="B16" t="s">
        <v>36</v>
      </c>
      <c r="F16">
        <v>304</v>
      </c>
      <c r="G16" t="s">
        <v>32</v>
      </c>
    </row>
    <row r="17" spans="1:2" x14ac:dyDescent="0.25">
      <c r="A17" t="s">
        <v>20</v>
      </c>
      <c r="B17" t="s">
        <v>37</v>
      </c>
    </row>
    <row r="18" spans="1:2" x14ac:dyDescent="0.25">
      <c r="A18" t="s">
        <v>21</v>
      </c>
      <c r="B18" t="s">
        <v>38</v>
      </c>
    </row>
    <row r="19" spans="1:2" x14ac:dyDescent="0.25">
      <c r="A19" t="s">
        <v>22</v>
      </c>
      <c r="B19" t="s">
        <v>39</v>
      </c>
    </row>
    <row r="20" spans="1:2" x14ac:dyDescent="0.25">
      <c r="A20" t="s">
        <v>23</v>
      </c>
      <c r="B20" t="s">
        <v>40</v>
      </c>
    </row>
  </sheetData>
  <mergeCells count="6">
    <mergeCell ref="F1:I1"/>
    <mergeCell ref="A1:D1"/>
    <mergeCell ref="A2:B2"/>
    <mergeCell ref="C2:D2"/>
    <mergeCell ref="F2:G2"/>
    <mergeCell ref="H2:I2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86EB-3DF2-4CC2-A9AB-FB4DA79E0BDE}">
  <dimension ref="A1:M9"/>
  <sheetViews>
    <sheetView workbookViewId="0">
      <selection activeCell="A2" sqref="A2:B9"/>
    </sheetView>
  </sheetViews>
  <sheetFormatPr defaultColWidth="8.85546875" defaultRowHeight="15" x14ac:dyDescent="0.25"/>
  <cols>
    <col min="1" max="1" width="18" bestFit="1" customWidth="1"/>
    <col min="2" max="2" width="11.7109375" bestFit="1" customWidth="1"/>
    <col min="5" max="5" width="7.140625" bestFit="1" customWidth="1"/>
    <col min="6" max="6" width="18" bestFit="1" customWidth="1"/>
    <col min="7" max="7" width="6.42578125" bestFit="1" customWidth="1"/>
    <col min="8" max="8" width="11.7109375" bestFit="1" customWidth="1"/>
    <col min="11" max="11" width="18" bestFit="1" customWidth="1"/>
    <col min="12" max="12" width="11.5703125" bestFit="1" customWidth="1"/>
  </cols>
  <sheetData>
    <row r="1" spans="1:12" x14ac:dyDescent="0.25">
      <c r="A1" s="4" t="s">
        <v>117</v>
      </c>
      <c r="B1" s="4"/>
      <c r="E1" s="1" t="s">
        <v>118</v>
      </c>
      <c r="F1" s="1"/>
      <c r="G1" s="1"/>
      <c r="H1" s="1"/>
      <c r="K1" s="2" t="s">
        <v>120</v>
      </c>
      <c r="L1" s="2" t="s">
        <v>119</v>
      </c>
    </row>
    <row r="2" spans="1:12" x14ac:dyDescent="0.25">
      <c r="A2" t="s">
        <v>114</v>
      </c>
      <c r="B2" t="s">
        <v>116</v>
      </c>
      <c r="E2" t="s">
        <v>47</v>
      </c>
      <c r="F2" t="s">
        <v>96</v>
      </c>
      <c r="G2" t="s">
        <v>95</v>
      </c>
      <c r="H2" t="s">
        <v>49</v>
      </c>
      <c r="K2" t="s">
        <v>41</v>
      </c>
      <c r="L2" s="5">
        <f>H4-B4</f>
        <v>-75272.770000000019</v>
      </c>
    </row>
    <row r="3" spans="1:12" x14ac:dyDescent="0.25">
      <c r="A3" t="s">
        <v>115</v>
      </c>
      <c r="B3" s="5">
        <v>4090614.14</v>
      </c>
      <c r="F3" t="s">
        <v>122</v>
      </c>
      <c r="H3" s="5">
        <f>SUM(H4:H8)</f>
        <v>3121493.1599999997</v>
      </c>
      <c r="K3" t="s">
        <v>46</v>
      </c>
      <c r="L3" s="5">
        <f>H5-B8</f>
        <v>-384138.88</v>
      </c>
    </row>
    <row r="4" spans="1:12" x14ac:dyDescent="0.25">
      <c r="A4" t="s">
        <v>41</v>
      </c>
      <c r="B4" s="5">
        <v>3060068.19</v>
      </c>
      <c r="E4">
        <v>1</v>
      </c>
      <c r="F4" t="s">
        <v>41</v>
      </c>
      <c r="G4" t="s">
        <v>83</v>
      </c>
      <c r="H4" s="5">
        <v>2984795.42</v>
      </c>
      <c r="K4" t="s">
        <v>45</v>
      </c>
      <c r="L4">
        <f>H6-B7</f>
        <v>0</v>
      </c>
    </row>
    <row r="5" spans="1:12" x14ac:dyDescent="0.25">
      <c r="A5" t="s">
        <v>43</v>
      </c>
      <c r="B5" s="5">
        <v>24609.68</v>
      </c>
      <c r="E5">
        <v>10</v>
      </c>
      <c r="F5" t="s">
        <v>46</v>
      </c>
      <c r="G5" t="s">
        <v>83</v>
      </c>
      <c r="H5" s="5">
        <v>50176.29</v>
      </c>
      <c r="K5" t="s">
        <v>44</v>
      </c>
      <c r="L5" s="5">
        <f>H7-B6</f>
        <v>1083.9200000000055</v>
      </c>
    </row>
    <row r="6" spans="1:12" x14ac:dyDescent="0.25">
      <c r="A6" t="s">
        <v>44</v>
      </c>
      <c r="B6" s="5">
        <v>64287.63</v>
      </c>
      <c r="E6">
        <v>24</v>
      </c>
      <c r="F6" t="s">
        <v>45</v>
      </c>
      <c r="G6" t="s">
        <v>83</v>
      </c>
      <c r="H6">
        <v>237.31</v>
      </c>
      <c r="K6" t="s">
        <v>43</v>
      </c>
      <c r="L6" s="5">
        <f>H8-B5</f>
        <v>-3697.09</v>
      </c>
    </row>
    <row r="7" spans="1:12" x14ac:dyDescent="0.25">
      <c r="A7" t="s">
        <v>45</v>
      </c>
      <c r="B7">
        <v>237.31</v>
      </c>
      <c r="E7">
        <v>27</v>
      </c>
      <c r="F7" t="s">
        <v>44</v>
      </c>
      <c r="G7" t="s">
        <v>83</v>
      </c>
      <c r="H7" s="5">
        <v>65371.55</v>
      </c>
      <c r="K7" t="s">
        <v>33</v>
      </c>
      <c r="L7" s="5">
        <f>H9-B9</f>
        <v>-507096.16</v>
      </c>
    </row>
    <row r="8" spans="1:12" x14ac:dyDescent="0.25">
      <c r="A8" t="s">
        <v>46</v>
      </c>
      <c r="B8" s="5">
        <v>434315.17</v>
      </c>
      <c r="E8">
        <v>29</v>
      </c>
      <c r="F8" t="s">
        <v>43</v>
      </c>
      <c r="G8" t="s">
        <v>83</v>
      </c>
      <c r="H8" s="5">
        <v>20912.59</v>
      </c>
      <c r="K8" t="s">
        <v>123</v>
      </c>
      <c r="L8" s="5">
        <f>H3-B3</f>
        <v>-969120.98000000045</v>
      </c>
    </row>
    <row r="9" spans="1:12" x14ac:dyDescent="0.25">
      <c r="A9" t="s">
        <v>33</v>
      </c>
      <c r="B9" s="5">
        <v>507096.16</v>
      </c>
      <c r="F9" t="s">
        <v>33</v>
      </c>
    </row>
  </sheetData>
  <mergeCells count="2">
    <mergeCell ref="E1:H1"/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AEE3-612C-4308-B435-265893FD93AD}">
  <dimension ref="A1:C7"/>
  <sheetViews>
    <sheetView tabSelected="1" workbookViewId="0">
      <selection activeCell="C2" sqref="C2:C7"/>
    </sheetView>
  </sheetViews>
  <sheetFormatPr defaultRowHeight="15" x14ac:dyDescent="0.25"/>
  <sheetData>
    <row r="1" spans="1:3" x14ac:dyDescent="0.25">
      <c r="A1" t="s">
        <v>127</v>
      </c>
      <c r="B1" t="s">
        <v>128</v>
      </c>
      <c r="C1" t="s">
        <v>121</v>
      </c>
    </row>
    <row r="2" spans="1:3" x14ac:dyDescent="0.25">
      <c r="A2" s="6">
        <v>46129</v>
      </c>
      <c r="B2" t="s">
        <v>129</v>
      </c>
      <c r="C2" s="5">
        <v>13181.21</v>
      </c>
    </row>
    <row r="3" spans="1:3" x14ac:dyDescent="0.25">
      <c r="A3" s="6">
        <v>46129</v>
      </c>
      <c r="B3" t="s">
        <v>130</v>
      </c>
      <c r="C3" s="5">
        <v>91101.93</v>
      </c>
    </row>
    <row r="4" spans="1:3" x14ac:dyDescent="0.25">
      <c r="A4" s="6">
        <v>46129</v>
      </c>
      <c r="B4" t="s">
        <v>131</v>
      </c>
      <c r="C4" s="5">
        <v>149115.92000000001</v>
      </c>
    </row>
    <row r="5" spans="1:3" x14ac:dyDescent="0.25">
      <c r="A5" s="6">
        <v>46129</v>
      </c>
      <c r="B5" t="s">
        <v>132</v>
      </c>
      <c r="C5" s="5">
        <v>206034.4</v>
      </c>
    </row>
    <row r="6" spans="1:3" x14ac:dyDescent="0.25">
      <c r="A6" s="6">
        <v>46129</v>
      </c>
      <c r="B6" t="s">
        <v>133</v>
      </c>
      <c r="C6" s="5">
        <v>234169.68</v>
      </c>
    </row>
    <row r="7" spans="1:3" x14ac:dyDescent="0.25">
      <c r="A7" s="6">
        <v>46129</v>
      </c>
      <c r="B7" t="s">
        <v>134</v>
      </c>
      <c r="C7" s="5">
        <v>290606.77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AD00-1C78-4F91-BCA0-A1BBAE493AD2}">
  <dimension ref="A1:I18"/>
  <sheetViews>
    <sheetView workbookViewId="0">
      <selection activeCell="A4" sqref="A4:B18"/>
    </sheetView>
  </sheetViews>
  <sheetFormatPr defaultRowHeight="15" x14ac:dyDescent="0.25"/>
  <cols>
    <col min="1" max="1" width="19.5703125" bestFit="1" customWidth="1"/>
    <col min="2" max="2" width="11.7109375" bestFit="1" customWidth="1"/>
    <col min="5" max="5" width="7.42578125" bestFit="1" customWidth="1"/>
    <col min="6" max="6" width="32" bestFit="1" customWidth="1"/>
    <col min="7" max="7" width="17.5703125" bestFit="1" customWidth="1"/>
    <col min="8" max="8" width="11.7109375" bestFit="1" customWidth="1"/>
    <col min="9" max="9" width="14.42578125" bestFit="1" customWidth="1"/>
  </cols>
  <sheetData>
    <row r="1" spans="1:9" x14ac:dyDescent="0.25">
      <c r="A1" s="4" t="s">
        <v>117</v>
      </c>
      <c r="B1" s="4"/>
      <c r="E1" s="1" t="s">
        <v>118</v>
      </c>
      <c r="F1" s="1"/>
      <c r="G1" s="1"/>
      <c r="H1" s="1"/>
    </row>
    <row r="2" spans="1:9" x14ac:dyDescent="0.25">
      <c r="A2" t="s">
        <v>124</v>
      </c>
      <c r="B2" t="s">
        <v>116</v>
      </c>
      <c r="E2" s="3" t="s">
        <v>47</v>
      </c>
      <c r="F2" s="3" t="s">
        <v>4</v>
      </c>
      <c r="G2" s="3" t="s">
        <v>48</v>
      </c>
      <c r="H2" s="3" t="s">
        <v>49</v>
      </c>
      <c r="I2" s="3" t="s">
        <v>126</v>
      </c>
    </row>
    <row r="3" spans="1:9" x14ac:dyDescent="0.25">
      <c r="A3" t="s">
        <v>125</v>
      </c>
      <c r="B3" s="5">
        <v>4090614.14</v>
      </c>
      <c r="F3" t="s">
        <v>123</v>
      </c>
      <c r="H3" s="5">
        <f>SUM(H4:H16)</f>
        <v>3121493.16</v>
      </c>
      <c r="I3" s="5">
        <f>H3-B3</f>
        <v>-969120.98</v>
      </c>
    </row>
    <row r="4" spans="1:9" x14ac:dyDescent="0.25">
      <c r="A4" t="s">
        <v>51</v>
      </c>
      <c r="B4" s="5">
        <v>639658.23999999999</v>
      </c>
      <c r="E4">
        <v>101</v>
      </c>
      <c r="F4" t="s">
        <v>50</v>
      </c>
      <c r="G4" t="s">
        <v>51</v>
      </c>
      <c r="H4" s="5">
        <v>533162.38</v>
      </c>
      <c r="I4" s="5">
        <f>H4-B4</f>
        <v>-106495.85999999999</v>
      </c>
    </row>
    <row r="5" spans="1:9" x14ac:dyDescent="0.25">
      <c r="A5" t="s">
        <v>53</v>
      </c>
      <c r="B5" s="5">
        <v>364994.41</v>
      </c>
      <c r="E5">
        <v>102</v>
      </c>
      <c r="F5" t="s">
        <v>52</v>
      </c>
      <c r="G5" t="s">
        <v>53</v>
      </c>
      <c r="H5" s="5">
        <v>350780.94</v>
      </c>
      <c r="I5" s="5">
        <f>H5-B5</f>
        <v>-14213.469999999972</v>
      </c>
    </row>
    <row r="6" spans="1:9" x14ac:dyDescent="0.25">
      <c r="A6" t="s">
        <v>57</v>
      </c>
      <c r="B6" s="5">
        <v>285711.65000000002</v>
      </c>
      <c r="E6">
        <v>103</v>
      </c>
      <c r="F6" t="s">
        <v>54</v>
      </c>
      <c r="G6" t="s">
        <v>55</v>
      </c>
      <c r="H6" s="5">
        <v>288245.25</v>
      </c>
      <c r="I6" s="5">
        <f>H6-B10</f>
        <v>-37243.359999999986</v>
      </c>
    </row>
    <row r="7" spans="1:9" x14ac:dyDescent="0.25">
      <c r="A7" t="s">
        <v>59</v>
      </c>
      <c r="B7" s="5">
        <v>280398.48</v>
      </c>
      <c r="E7">
        <v>105</v>
      </c>
      <c r="F7" t="s">
        <v>56</v>
      </c>
      <c r="G7" t="s">
        <v>57</v>
      </c>
      <c r="H7" s="5">
        <v>282459.84000000003</v>
      </c>
      <c r="I7" s="5">
        <f>H7-B6</f>
        <v>-3251.8099999999977</v>
      </c>
    </row>
    <row r="8" spans="1:9" x14ac:dyDescent="0.25">
      <c r="A8" t="s">
        <v>61</v>
      </c>
      <c r="B8" s="5">
        <v>453666.79</v>
      </c>
      <c r="E8">
        <v>106</v>
      </c>
      <c r="F8" t="s">
        <v>58</v>
      </c>
      <c r="G8" t="s">
        <v>59</v>
      </c>
      <c r="H8" s="5">
        <v>261424.19</v>
      </c>
      <c r="I8" s="5">
        <f>H8-B7</f>
        <v>-18974.289999999979</v>
      </c>
    </row>
    <row r="9" spans="1:9" x14ac:dyDescent="0.25">
      <c r="A9" t="s">
        <v>63</v>
      </c>
      <c r="B9" s="5">
        <v>361482.93</v>
      </c>
      <c r="E9">
        <v>107</v>
      </c>
      <c r="F9" t="s">
        <v>60</v>
      </c>
      <c r="G9" t="s">
        <v>61</v>
      </c>
      <c r="H9" s="5">
        <v>322630.67</v>
      </c>
      <c r="I9" s="5">
        <f>H9-B8</f>
        <v>-131036.12</v>
      </c>
    </row>
    <row r="10" spans="1:9" x14ac:dyDescent="0.25">
      <c r="A10" t="s">
        <v>55</v>
      </c>
      <c r="B10" s="5">
        <v>325488.61</v>
      </c>
      <c r="E10">
        <v>108</v>
      </c>
      <c r="F10" t="s">
        <v>62</v>
      </c>
      <c r="G10" t="s">
        <v>63</v>
      </c>
      <c r="H10" s="5">
        <v>309872.5</v>
      </c>
      <c r="I10" s="5">
        <f>H10-B9</f>
        <v>-51610.429999999993</v>
      </c>
    </row>
    <row r="11" spans="1:9" x14ac:dyDescent="0.25">
      <c r="A11" t="s">
        <v>65</v>
      </c>
      <c r="B11" s="5">
        <v>71351.8</v>
      </c>
      <c r="E11">
        <v>109</v>
      </c>
      <c r="F11" t="s">
        <v>64</v>
      </c>
      <c r="G11" t="s">
        <v>65</v>
      </c>
      <c r="H11" s="5">
        <v>63343.61</v>
      </c>
      <c r="I11" s="5">
        <f>H11-B11</f>
        <v>-8008.1900000000023</v>
      </c>
    </row>
    <row r="12" spans="1:9" x14ac:dyDescent="0.25">
      <c r="A12" t="s">
        <v>112</v>
      </c>
      <c r="B12" s="5">
        <v>146372.4</v>
      </c>
      <c r="E12">
        <v>113</v>
      </c>
      <c r="F12" t="s">
        <v>66</v>
      </c>
      <c r="G12" t="s">
        <v>67</v>
      </c>
      <c r="H12" s="5">
        <v>247397.94</v>
      </c>
      <c r="I12" s="5">
        <f>H12-B15</f>
        <v>-16743.119999999995</v>
      </c>
    </row>
    <row r="13" spans="1:9" x14ac:dyDescent="0.25">
      <c r="A13" t="s">
        <v>100</v>
      </c>
      <c r="B13" s="5">
        <v>327319.51</v>
      </c>
      <c r="E13">
        <v>115</v>
      </c>
      <c r="F13" t="s">
        <v>68</v>
      </c>
      <c r="G13" t="s">
        <v>69</v>
      </c>
      <c r="H13" s="5">
        <v>52837.86</v>
      </c>
      <c r="I13" s="5">
        <f>H13-B14</f>
        <v>9648.1299999999974</v>
      </c>
    </row>
    <row r="14" spans="1:9" x14ac:dyDescent="0.25">
      <c r="A14" t="s">
        <v>69</v>
      </c>
      <c r="B14" s="5">
        <v>43189.73</v>
      </c>
      <c r="E14">
        <v>300</v>
      </c>
      <c r="F14" t="s">
        <v>70</v>
      </c>
      <c r="G14" t="s">
        <v>71</v>
      </c>
      <c r="H14" s="5">
        <v>110832.18</v>
      </c>
      <c r="I14" s="5">
        <f>H14-B17</f>
        <v>-68154.850000000006</v>
      </c>
    </row>
    <row r="15" spans="1:9" x14ac:dyDescent="0.25">
      <c r="A15" t="s">
        <v>67</v>
      </c>
      <c r="B15" s="5">
        <v>264141.06</v>
      </c>
      <c r="E15">
        <v>301</v>
      </c>
      <c r="F15" t="s">
        <v>72</v>
      </c>
      <c r="G15" t="s">
        <v>73</v>
      </c>
      <c r="H15" s="5">
        <v>160539.16</v>
      </c>
      <c r="I15" s="5">
        <f>H15-B18</f>
        <v>-7535.6900000000023</v>
      </c>
    </row>
    <row r="16" spans="1:9" x14ac:dyDescent="0.25">
      <c r="A16" t="s">
        <v>104</v>
      </c>
      <c r="B16" s="5">
        <v>179776.65</v>
      </c>
      <c r="E16">
        <v>304</v>
      </c>
      <c r="F16" t="s">
        <v>74</v>
      </c>
      <c r="G16" t="s">
        <v>112</v>
      </c>
      <c r="H16" s="5">
        <v>137966.64000000001</v>
      </c>
      <c r="I16" s="5">
        <f>H16-B12</f>
        <v>-8405.7599999999802</v>
      </c>
    </row>
    <row r="17" spans="1:9" x14ac:dyDescent="0.25">
      <c r="A17" t="s">
        <v>71</v>
      </c>
      <c r="B17" s="5">
        <v>178987.03</v>
      </c>
      <c r="F17" t="s">
        <v>37</v>
      </c>
      <c r="G17" t="s">
        <v>20</v>
      </c>
      <c r="I17" s="5">
        <f>H17-B16</f>
        <v>-179776.65</v>
      </c>
    </row>
    <row r="18" spans="1:9" x14ac:dyDescent="0.25">
      <c r="A18" t="s">
        <v>73</v>
      </c>
      <c r="B18" s="5">
        <v>168074.85</v>
      </c>
      <c r="F18" t="s">
        <v>33</v>
      </c>
      <c r="G18" t="s">
        <v>16</v>
      </c>
      <c r="I18" s="5">
        <f>H18-B13</f>
        <v>-327319.51</v>
      </c>
    </row>
  </sheetData>
  <autoFilter ref="A2:I2" xr:uid="{E015AD00-1C78-4F91-BCA0-A1BBAE493AD2}"/>
  <mergeCells count="2">
    <mergeCell ref="A1:B1"/>
    <mergeCell ref="E1:H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B8F3-4AB0-442F-8A20-26FCC77F73A9}">
  <dimension ref="A1:D17"/>
  <sheetViews>
    <sheetView workbookViewId="0">
      <selection sqref="A1:XFD1048576"/>
    </sheetView>
  </sheetViews>
  <sheetFormatPr defaultRowHeight="15" x14ac:dyDescent="0.25"/>
  <cols>
    <col min="1" max="1" width="12" bestFit="1" customWidth="1"/>
    <col min="2" max="2" width="18" bestFit="1" customWidth="1"/>
    <col min="3" max="3" width="11.28515625" bestFit="1" customWidth="1"/>
    <col min="4" max="4" width="11" bestFit="1" customWidth="1"/>
  </cols>
  <sheetData>
    <row r="1" spans="1:4" x14ac:dyDescent="0.25">
      <c r="A1" s="3" t="s">
        <v>47</v>
      </c>
      <c r="B1" s="3" t="s">
        <v>5</v>
      </c>
      <c r="C1" s="3" t="s">
        <v>95</v>
      </c>
      <c r="D1" s="3" t="s">
        <v>113</v>
      </c>
    </row>
    <row r="2" spans="1:4" x14ac:dyDescent="0.25">
      <c r="A2">
        <v>51</v>
      </c>
      <c r="B2" t="s">
        <v>82</v>
      </c>
      <c r="C2" t="s">
        <v>83</v>
      </c>
    </row>
    <row r="3" spans="1:4" x14ac:dyDescent="0.25">
      <c r="A3">
        <v>52</v>
      </c>
      <c r="B3" t="s">
        <v>84</v>
      </c>
      <c r="C3" t="s">
        <v>83</v>
      </c>
    </row>
    <row r="4" spans="1:4" x14ac:dyDescent="0.25">
      <c r="A4">
        <v>53</v>
      </c>
      <c r="B4" t="s">
        <v>85</v>
      </c>
      <c r="C4" t="s">
        <v>83</v>
      </c>
    </row>
    <row r="5" spans="1:4" x14ac:dyDescent="0.25">
      <c r="A5">
        <v>54</v>
      </c>
      <c r="B5" t="s">
        <v>86</v>
      </c>
      <c r="C5" t="s">
        <v>83</v>
      </c>
    </row>
    <row r="6" spans="1:4" x14ac:dyDescent="0.25">
      <c r="A6">
        <v>55</v>
      </c>
      <c r="B6" t="s">
        <v>87</v>
      </c>
      <c r="C6" t="s">
        <v>83</v>
      </c>
    </row>
    <row r="7" spans="1:4" x14ac:dyDescent="0.25">
      <c r="A7">
        <v>56</v>
      </c>
      <c r="B7" t="s">
        <v>88</v>
      </c>
      <c r="C7" t="s">
        <v>89</v>
      </c>
    </row>
    <row r="8" spans="1:4" x14ac:dyDescent="0.25">
      <c r="A8">
        <v>57</v>
      </c>
      <c r="B8" t="s">
        <v>90</v>
      </c>
      <c r="C8" t="s">
        <v>83</v>
      </c>
    </row>
    <row r="9" spans="1:4" x14ac:dyDescent="0.25">
      <c r="A9">
        <v>59</v>
      </c>
      <c r="B9" t="s">
        <v>91</v>
      </c>
      <c r="C9" t="s">
        <v>83</v>
      </c>
    </row>
    <row r="10" spans="1:4" x14ac:dyDescent="0.25">
      <c r="A10">
        <v>61</v>
      </c>
      <c r="B10" t="s">
        <v>92</v>
      </c>
      <c r="C10" t="s">
        <v>83</v>
      </c>
    </row>
    <row r="11" spans="1:4" x14ac:dyDescent="0.25">
      <c r="A11">
        <v>62</v>
      </c>
      <c r="B11" t="s">
        <v>93</v>
      </c>
      <c r="C11" t="s">
        <v>89</v>
      </c>
    </row>
    <row r="12" spans="1:4" x14ac:dyDescent="0.25">
      <c r="A12">
        <v>63</v>
      </c>
      <c r="B12" t="s">
        <v>94</v>
      </c>
      <c r="C12" t="s">
        <v>83</v>
      </c>
    </row>
    <row r="13" spans="1:4" x14ac:dyDescent="0.25">
      <c r="A13">
        <v>1</v>
      </c>
      <c r="B13" t="s">
        <v>41</v>
      </c>
      <c r="C13" t="s">
        <v>83</v>
      </c>
    </row>
    <row r="14" spans="1:4" x14ac:dyDescent="0.25">
      <c r="A14">
        <v>10</v>
      </c>
      <c r="B14" t="s">
        <v>46</v>
      </c>
      <c r="C14" t="s">
        <v>83</v>
      </c>
    </row>
    <row r="15" spans="1:4" x14ac:dyDescent="0.25">
      <c r="A15">
        <v>24</v>
      </c>
      <c r="B15" t="s">
        <v>45</v>
      </c>
      <c r="C15" t="s">
        <v>83</v>
      </c>
    </row>
    <row r="16" spans="1:4" x14ac:dyDescent="0.25">
      <c r="A16">
        <v>27</v>
      </c>
      <c r="B16" t="s">
        <v>44</v>
      </c>
      <c r="C16" t="s">
        <v>83</v>
      </c>
    </row>
    <row r="17" spans="1:3" x14ac:dyDescent="0.25">
      <c r="A17">
        <v>29</v>
      </c>
      <c r="B17" t="s">
        <v>43</v>
      </c>
      <c r="C17" t="s">
        <v>83</v>
      </c>
    </row>
  </sheetData>
  <autoFilter ref="A1:D1" xr:uid="{B29EB8F3-4AB0-442F-8A20-26FCC77F73A9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AC6B-CDE4-4123-9C66-88CD59B51473}">
  <dimension ref="A1:D24"/>
  <sheetViews>
    <sheetView workbookViewId="0">
      <selection sqref="A1:XFD1048576"/>
    </sheetView>
  </sheetViews>
  <sheetFormatPr defaultRowHeight="15" x14ac:dyDescent="0.25"/>
  <cols>
    <col min="1" max="1" width="12" bestFit="1" customWidth="1"/>
    <col min="2" max="2" width="32" bestFit="1" customWidth="1"/>
    <col min="3" max="3" width="19.5703125" bestFit="1" customWidth="1"/>
    <col min="4" max="4" width="11" bestFit="1" customWidth="1"/>
  </cols>
  <sheetData>
    <row r="1" spans="1:4" x14ac:dyDescent="0.25">
      <c r="A1" s="3" t="s">
        <v>47</v>
      </c>
      <c r="B1" s="3" t="s">
        <v>4</v>
      </c>
      <c r="C1" s="3" t="s">
        <v>48</v>
      </c>
      <c r="D1" s="3" t="s">
        <v>113</v>
      </c>
    </row>
    <row r="2" spans="1:4" x14ac:dyDescent="0.25">
      <c r="A2">
        <v>100</v>
      </c>
      <c r="B2" t="s">
        <v>97</v>
      </c>
      <c r="C2" t="s">
        <v>97</v>
      </c>
    </row>
    <row r="3" spans="1:4" x14ac:dyDescent="0.25">
      <c r="A3">
        <v>110</v>
      </c>
      <c r="B3" t="s">
        <v>98</v>
      </c>
      <c r="C3" t="s">
        <v>98</v>
      </c>
    </row>
    <row r="4" spans="1:4" x14ac:dyDescent="0.25">
      <c r="A4">
        <v>112</v>
      </c>
      <c r="B4" t="s">
        <v>99</v>
      </c>
      <c r="C4" t="s">
        <v>100</v>
      </c>
    </row>
    <row r="5" spans="1:4" x14ac:dyDescent="0.25">
      <c r="A5">
        <v>114</v>
      </c>
      <c r="B5" t="s">
        <v>101</v>
      </c>
      <c r="C5" t="s">
        <v>102</v>
      </c>
    </row>
    <row r="6" spans="1:4" x14ac:dyDescent="0.25">
      <c r="A6">
        <v>116</v>
      </c>
      <c r="B6" t="s">
        <v>103</v>
      </c>
      <c r="C6" t="s">
        <v>104</v>
      </c>
    </row>
    <row r="7" spans="1:4" x14ac:dyDescent="0.25">
      <c r="A7">
        <v>117</v>
      </c>
      <c r="B7" t="s">
        <v>105</v>
      </c>
      <c r="C7" t="s">
        <v>106</v>
      </c>
    </row>
    <row r="8" spans="1:4" x14ac:dyDescent="0.25">
      <c r="A8">
        <v>950</v>
      </c>
      <c r="B8" t="s">
        <v>107</v>
      </c>
      <c r="C8" t="s">
        <v>107</v>
      </c>
    </row>
    <row r="9" spans="1:4" x14ac:dyDescent="0.25">
      <c r="A9">
        <v>951</v>
      </c>
      <c r="B9" t="s">
        <v>108</v>
      </c>
      <c r="C9" t="s">
        <v>108</v>
      </c>
    </row>
    <row r="10" spans="1:4" x14ac:dyDescent="0.25">
      <c r="A10">
        <v>952</v>
      </c>
      <c r="B10" t="s">
        <v>109</v>
      </c>
      <c r="C10" t="s">
        <v>110</v>
      </c>
    </row>
    <row r="11" spans="1:4" x14ac:dyDescent="0.25">
      <c r="A11">
        <v>960</v>
      </c>
      <c r="B11" t="s">
        <v>111</v>
      </c>
      <c r="C11" t="s">
        <v>111</v>
      </c>
    </row>
    <row r="12" spans="1:4" x14ac:dyDescent="0.25">
      <c r="A12">
        <v>101</v>
      </c>
      <c r="B12" t="s">
        <v>50</v>
      </c>
      <c r="C12" t="s">
        <v>51</v>
      </c>
    </row>
    <row r="13" spans="1:4" x14ac:dyDescent="0.25">
      <c r="A13">
        <v>102</v>
      </c>
      <c r="B13" t="s">
        <v>52</v>
      </c>
      <c r="C13" t="s">
        <v>53</v>
      </c>
    </row>
    <row r="14" spans="1:4" x14ac:dyDescent="0.25">
      <c r="A14">
        <v>103</v>
      </c>
      <c r="B14" t="s">
        <v>54</v>
      </c>
      <c r="C14" t="s">
        <v>55</v>
      </c>
    </row>
    <row r="15" spans="1:4" x14ac:dyDescent="0.25">
      <c r="A15">
        <v>105</v>
      </c>
      <c r="B15" t="s">
        <v>56</v>
      </c>
      <c r="C15" t="s">
        <v>57</v>
      </c>
    </row>
    <row r="16" spans="1:4" x14ac:dyDescent="0.25">
      <c r="A16">
        <v>106</v>
      </c>
      <c r="B16" t="s">
        <v>58</v>
      </c>
      <c r="C16" t="s">
        <v>59</v>
      </c>
    </row>
    <row r="17" spans="1:3" x14ac:dyDescent="0.25">
      <c r="A17">
        <v>107</v>
      </c>
      <c r="B17" t="s">
        <v>60</v>
      </c>
      <c r="C17" t="s">
        <v>61</v>
      </c>
    </row>
    <row r="18" spans="1:3" x14ac:dyDescent="0.25">
      <c r="A18">
        <v>108</v>
      </c>
      <c r="B18" t="s">
        <v>62</v>
      </c>
      <c r="C18" t="s">
        <v>63</v>
      </c>
    </row>
    <row r="19" spans="1:3" x14ac:dyDescent="0.25">
      <c r="A19">
        <v>109</v>
      </c>
      <c r="B19" t="s">
        <v>64</v>
      </c>
      <c r="C19" t="s">
        <v>65</v>
      </c>
    </row>
    <row r="20" spans="1:3" x14ac:dyDescent="0.25">
      <c r="A20">
        <v>113</v>
      </c>
      <c r="B20" t="s">
        <v>66</v>
      </c>
      <c r="C20" t="s">
        <v>67</v>
      </c>
    </row>
    <row r="21" spans="1:3" x14ac:dyDescent="0.25">
      <c r="A21">
        <v>115</v>
      </c>
      <c r="B21" t="s">
        <v>68</v>
      </c>
      <c r="C21" t="s">
        <v>69</v>
      </c>
    </row>
    <row r="22" spans="1:3" x14ac:dyDescent="0.25">
      <c r="A22">
        <v>300</v>
      </c>
      <c r="B22" t="s">
        <v>70</v>
      </c>
      <c r="C22" t="s">
        <v>71</v>
      </c>
    </row>
    <row r="23" spans="1:3" x14ac:dyDescent="0.25">
      <c r="A23">
        <v>301</v>
      </c>
      <c r="B23" t="s">
        <v>72</v>
      </c>
      <c r="C23" t="s">
        <v>73</v>
      </c>
    </row>
    <row r="24" spans="1:3" x14ac:dyDescent="0.25">
      <c r="A24">
        <v>304</v>
      </c>
      <c r="B24" t="s">
        <v>74</v>
      </c>
      <c r="C24" t="s">
        <v>112</v>
      </c>
    </row>
  </sheetData>
  <autoFilter ref="A1:D1" xr:uid="{4D4EAC6B-CDE4-4123-9C66-88CD59B5147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Planilha1</vt:lpstr>
      <vt:lpstr>VENDAS POR SEGMENTOS</vt:lpstr>
      <vt:lpstr>Planilha7</vt:lpstr>
      <vt:lpstr>VENDAS POR LOJAS</vt:lpstr>
      <vt:lpstr>SEGMENTOS</vt:lpstr>
      <vt:lpstr>LOJAS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Ferreira Dos Santos, Vinicius</dc:creator>
  <cp:lastModifiedBy>Ferreira Dos Santos, Vinicius</cp:lastModifiedBy>
  <dcterms:created xsi:type="dcterms:W3CDTF">2026-04-17T10:25:50Z</dcterms:created>
  <dcterms:modified xsi:type="dcterms:W3CDTF">2026-04-17T20:11:54Z</dcterms:modified>
</cp:coreProperties>
</file>